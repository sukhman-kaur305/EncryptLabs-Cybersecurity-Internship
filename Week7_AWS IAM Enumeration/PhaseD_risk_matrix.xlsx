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275a44ae6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Matrix" sheetId="1" r:id="R7b30ad7147f6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E7490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0ba9dc5424b84" /><Relationship Type="http://schemas.openxmlformats.org/officeDocument/2006/relationships/theme" Target="/xl/theme/theme1.xml" Id="R3a50157976ef46f6" /><Relationship Type="http://schemas.openxmlformats.org/officeDocument/2006/relationships/sharedStrings" Target="/xl/sharedStrings.xml" Id="R4f2a1c4591584072" /><Relationship Type="http://schemas.openxmlformats.org/officeDocument/2006/relationships/worksheet" Target="/xl/worksheets/sheet1.xml" Id="R7b30ad7147f64971" /></Relationships>
</file>

<file path=xl/tables/table1.xml><?xml version="1.0" encoding="utf-8"?>
<x:table xmlns:x="http://schemas.openxmlformats.org/spreadsheetml/2006/main" id="1" name="RiskMatrixTable" displayName="RiskMatrixTable" ref="A4:J7" headerRowCount="1" totalsRowCount="0" totalsRowShown="0">
  <x:tableColumns count="10">
    <x:tableColumn id="1" name="Risk ID"/>
    <x:tableColumn id="2" name="Risk / Misconfiguration"/>
    <x:tableColumn id="3" name="Business Asset"/>
    <x:tableColumn id="4" name="Evidence / Finding"/>
    <x:tableColumn id="5" name="Likelihood"/>
    <x:tableColumn id="6" name="Impact"/>
    <x:tableColumn id="7" name="Risk Score"/>
    <x:tableColumn id="8" name="Risk Level"/>
    <x:tableColumn id="9" name="Business Impact"/>
    <x:tableColumn id="10" name="Recommended Mitig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b08c2211ad4f9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25" hidden="0" customWidth="1"/>
    <x:col min="4" max="4" width="43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42" hidden="0" customWidth="1"/>
    <x:col min="10" max="10" width="46" hidden="0" customWidth="1"/>
  </x:cols>
  <x:sheetData>
    <x:row r="1" ht="28" customHeight="1">
      <x:c r="A1" s="5" t="str">
        <x:v>Phase D – Visibility &amp; Risk Analysis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6" t="str">
        <x:v>Risk matrix based on verified Phase C IAM findings and Phase D IAM Access Analyzer results (us-east-2).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4" customHeight="1">
      <x:c r="A4" s="14" t="str">
        <x:v>Risk ID</x:v>
      </x:c>
      <x:c r="B4" s="14" t="str">
        <x:v>Risk / Misconfiguration</x:v>
      </x:c>
      <x:c r="C4" s="14" t="str">
        <x:v>Business Asset</x:v>
      </x:c>
      <x:c r="D4" s="14" t="str">
        <x:v>Evidence / Finding</x:v>
      </x:c>
      <x:c r="E4" s="14" t="str">
        <x:v>Likelihood</x:v>
      </x:c>
      <x:c r="F4" s="14" t="str">
        <x:v>Impact</x:v>
      </x:c>
      <x:c r="G4" s="14" t="str">
        <x:v>Risk Score</x:v>
      </x:c>
      <x:c r="H4" s="14" t="str">
        <x:v>Risk Level</x:v>
      </x:c>
      <x:c r="I4" s="14" t="str">
        <x:v>Business Impact</x:v>
      </x:c>
      <x:c r="J4" s="14" t="str">
        <x:v>Recommended Mitigation</x:v>
      </x:c>
    </x:row>
    <x:row r="5" ht="72" customHeight="1">
      <x:c r="A5" s="26" t="str">
        <x:v>R-01</x:v>
      </x:c>
      <x:c r="B5" s="26" t="str">
        <x:v>IAM policy attachment privilege escalation</x:v>
      </x:c>
      <x:c r="C5" s="26" t="str">
        <x:v>IAM Roles / AWS Workloads</x:v>
      </x:c>
      <x:c r="D5" s="26" t="str">
        <x:v>privesc9-AttachRolePolicy allows iam:AttachRolePolicy with Resource '*'.</x:v>
      </x:c>
      <x:c r="E5" s="26" t="n">
        <x:v>5</x:v>
      </x:c>
      <x:c r="F5" s="26" t="n">
        <x:v>5</x:v>
      </x:c>
      <x:c r="G5" s="26" t="n">
        <x:f>E5*F5</x:f>
        <x:v>25</x:v>
      </x:c>
      <x:c r="H5" s="26" t="str">
        <x:f>IF(G5&gt;=20,"Critical",IF(G5&gt;=12,"High",IF(G5&gt;=6,"Medium","Low")))</x:f>
        <x:v>Critical</x:v>
      </x:c>
      <x:c r="I5" s="26" t="str">
        <x:v>A compromised identity with this capability could increase role privileges and expose sensitive workloads.</x:v>
      </x:c>
      <x:c r="J5" s="26" t="str">
        <x:v>Restrict iam:AttachRolePolicy to approved role ARNs and approved managed policies; enforce least privilege.</x:v>
      </x:c>
    </x:row>
    <x:row r="6" ht="72" customHeight="1">
      <x:c r="A6" s="26" t="str">
        <x:v>R-02</x:v>
      </x:c>
      <x:c r="B6" s="26" t="str">
        <x:v>Wildcard resource scope in IAM authorization</x:v>
      </x:c>
      <x:c r="C6" s="26" t="str">
        <x:v>IAM Authorization / Privileged Roles</x:v>
      </x:c>
      <x:c r="D6" s="26" t="str">
        <x:v>The analyzed policy applies iam:AttachRolePolicy to all resources using Resource '*'.</x:v>
      </x:c>
      <x:c r="E6" s="26" t="n">
        <x:v>4</x:v>
      </x:c>
      <x:c r="F6" s="26" t="n">
        <x:v>5</x:v>
      </x:c>
      <x:c r="G6" s="26" t="n">
        <x:f>E6*F6</x:f>
        <x:v>20</x:v>
      </x:c>
      <x:c r="H6" s="26" t="str">
        <x:f>IF(G6&gt;=20,"Critical",IF(G6&gt;=12,"High",IF(G6&gt;=6,"Medium","Low")))</x:f>
        <x:v>Critical</x:v>
      </x:c>
      <x:c r="I6" s="26" t="str">
        <x:v>Broad scope increases the blast radius of credential compromise or configuration error.</x:v>
      </x:c>
      <x:c r="J6" s="26" t="str">
        <x:v>Replace wildcard scope with specific role resources; use permission boundaries and monitor sensitive IAM changes.</x:v>
      </x:c>
    </x:row>
    <x:row r="7" ht="72" customHeight="1">
      <x:c r="A7" s="26" t="str">
        <x:v>R-03</x:v>
      </x:c>
      <x:c r="B7" s="26" t="str">
        <x:v>IAM visibility and privileged-role governance gap</x:v>
      </x:c>
      <x:c r="C7" s="26" t="str">
        <x:v>IAM Roles / Identity Governance</x:v>
      </x:c>
      <x:c r="D7" s="26" t="str">
        <x:v>Manual enumeration identified numerous privilege-escalation test roles. Access Analyzer is ACTIVE and returned zero external/cross-account findings.</x:v>
      </x:c>
      <x:c r="E7" s="26" t="n">
        <x:v>3</x:v>
      </x:c>
      <x:c r="F7" s="26" t="n">
        <x:v>4</x:v>
      </x:c>
      <x:c r="G7" s="26" t="n">
        <x:f>E7*F7</x:f>
        <x:v>12</x:v>
      </x:c>
      <x:c r="H7" s="26" t="str">
        <x:f>IF(G7&gt;=20,"Critical",IF(G7&gt;=12,"High",IF(G7&gt;=6,"Medium","Low")))</x:f>
        <x:v>High</x:v>
      </x:c>
      <x:c r="I7" s="26" t="str">
        <x:v>No external-access finding does not eliminate internal excessive-permission risk.</x:v>
      </x:c>
      <x:c r="J7" s="26" t="str">
        <x:v>Perform recurring IAM reviews, remove unused lab roles, review trust policies, and monitor privileged IAM actions.</x:v>
      </x:c>
    </x:row>
    <x:row r="10">
      <x:c r="A10" s="22" t="str">
        <x:v>Risk Scoring Guide</x:v>
      </x:c>
      <x:c r="B10" s="22"/>
      <x:c r="C10" s="22"/>
      <x:c r="D10" s="22"/>
      <x:c r="F10" s="22" t="str">
        <x:v>Phase D Access Analyzer Result</x:v>
      </x:c>
      <x:c r="G10" s="22"/>
      <x:c r="H10" s="22"/>
      <x:c r="I10" s="22"/>
      <x:c r="J10" s="22"/>
    </x:row>
    <x:row r="11">
      <x:c r="A11" s="14" t="str">
        <x:v>Score Range</x:v>
      </x:c>
      <x:c r="B11" s="14" t="str">
        <x:v>Level</x:v>
      </x:c>
      <x:c r="C11" s="14" t="str">
        <x:v>Likelihood Scale</x:v>
      </x:c>
      <x:c r="D11" s="14" t="str">
        <x:v>Impact Scale</x:v>
      </x:c>
      <x:c r="E11" s="26"/>
      <x:c r="F11" s="14" t="str">
        <x:v>Region</x:v>
      </x:c>
      <x:c r="G11" s="14" t="str">
        <x:v>Analyzer</x:v>
      </x:c>
      <x:c r="H11" s="14" t="str">
        <x:v>Type</x:v>
      </x:c>
      <x:c r="I11" s="14" t="str">
        <x:v>Status</x:v>
      </x:c>
      <x:c r="J11" s="14" t="str">
        <x:v>Findings</x:v>
      </x:c>
    </x:row>
    <x:row r="12">
      <x:c r="A12" s="26" t="str">
        <x:v>20–25</x:v>
      </x:c>
      <x:c r="B12" s="26" t="str">
        <x:v>Critical</x:v>
      </x:c>
      <x:c r="C12" s="26" t="str">
        <x:v>5 = Almost Certain</x:v>
      </x:c>
      <x:c r="D12" s="26" t="str">
        <x:v>5 = Severe</x:v>
      </x:c>
      <x:c r="E12" s="26"/>
      <x:c r="F12" s="26" t="str">
        <x:v>us-east-2</x:v>
      </x:c>
      <x:c r="G12" s="26" t="str">
        <x:v>PhaseD-AccessAnalyzer</x:v>
      </x:c>
      <x:c r="H12" s="26" t="str">
        <x:v>ACCOUNT</x:v>
      </x:c>
      <x:c r="I12" s="26" t="str">
        <x:v>ACTIVE</x:v>
      </x:c>
      <x:c r="J12" s="26" t="n">
        <x:v>0</x:v>
      </x:c>
    </x:row>
    <x:row r="13">
      <x:c r="A13" s="26" t="str">
        <x:v>12–19</x:v>
      </x:c>
      <x:c r="B13" s="26" t="str">
        <x:v>High</x:v>
      </x:c>
      <x:c r="C13" s="26" t="str">
        <x:v>4 = Likely</x:v>
      </x:c>
      <x:c r="D13" s="26" t="str">
        <x:v>4 = Major</x:v>
      </x:c>
      <x:c r="E13" s="26"/>
      <x:c r="F13" s="26" t="str">
        <x:v>Interpretation</x:v>
      </x:c>
      <x:c r="G13" s="26" t="str">
        <x:v>No external/cross-account findings were returned at the time of review.</x:v>
      </x:c>
      <x:c r="H13" s="26" t="str"/>
      <x:c r="I13" s="26" t="str"/>
      <x:c r="J13" s="26" t="str"/>
    </x:row>
    <x:row r="14">
      <x:c r="A14" s="26" t="str">
        <x:v>6–11</x:v>
      </x:c>
      <x:c r="B14" s="26" t="str">
        <x:v>Medium</x:v>
      </x:c>
      <x:c r="C14" s="26" t="str">
        <x:v>3 = Possible</x:v>
      </x:c>
      <x:c r="D14" s="26" t="str">
        <x:v>3 = Moderate</x:v>
      </x:c>
      <x:c r="E14" s="26"/>
      <x:c r="F14" s="26"/>
      <x:c r="G14" s="26"/>
      <x:c r="H14" s="26"/>
      <x:c r="I14" s="26"/>
      <x:c r="J14" s="26"/>
    </x:row>
    <x:row r="15">
      <x:c r="A15" s="26" t="str">
        <x:v>1–5</x:v>
      </x:c>
      <x:c r="B15" s="26" t="str">
        <x:v>Low</x:v>
      </x:c>
      <x:c r="C15" s="26" t="str">
        <x:v>1–2 = Unlikely</x:v>
      </x:c>
      <x:c r="D15" s="26" t="str">
        <x:v>1–2 = Minor</x:v>
      </x:c>
      <x:c r="E15" s="26"/>
      <x:c r="F15" s="26"/>
      <x:c r="G15" s="26"/>
      <x:c r="H15" s="26"/>
      <x:c r="I15" s="26"/>
      <x:c r="J15" s="26"/>
    </x:row>
    <x:row r="18">
      <x:c r="A18" s="22" t="str">
        <x:v>Executive Summary – Top Three Risks</x:v>
      </x:c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 ht="45" customHeight="1">
      <x:c r="A19" s="26" t="str">
        <x:v>1. Privilege escalation</x:v>
      </x:c>
      <x:c r="B19" s="26" t="str">
        <x:v>The ability to attach policies broadly to IAM roles creates a critical privilege-escalation exposure if misused or compromised.</x:v>
      </x:c>
      <x:c r="C19" s="26"/>
      <x:c r="D19" s="26"/>
      <x:c r="E19" s="26"/>
      <x:c r="F19" s="26"/>
      <x:c r="G19" s="26"/>
      <x:c r="H19" s="26"/>
      <x:c r="I19" s="26"/>
      <x:c r="J19" s="26"/>
    </x:row>
    <x:row r="20" ht="45" customHeight="1">
      <x:c r="A20" s="26" t="str">
        <x:v>2. Excessive permission scope</x:v>
      </x:c>
      <x:c r="B20" s="26" t="str">
        <x:v>Wildcard resource access increases the potential blast radius and weakens least-privilege controls.</x:v>
      </x:c>
      <x:c r="C20" s="26"/>
      <x:c r="D20" s="26"/>
      <x:c r="E20" s="26"/>
      <x:c r="F20" s="26"/>
      <x:c r="G20" s="26"/>
      <x:c r="H20" s="26"/>
      <x:c r="I20" s="26"/>
      <x:c r="J20" s="26"/>
    </x:row>
    <x:row r="21" ht="45" customHeight="1">
      <x:c r="A21" s="26" t="str">
        <x:v>3. Governance visibility</x:v>
      </x:c>
      <x:c r="B21" s="26" t="str">
        <x:v>Access Analyzer reported no external-access findings, but internal privileged-role risks still require periodic IAM and trust-policy reviews.</x:v>
      </x:c>
      <x:c r="C21" s="26"/>
      <x:c r="D21" s="26"/>
      <x:c r="E21" s="26"/>
      <x:c r="F21" s="26"/>
      <x:c r="G21" s="26"/>
      <x:c r="H21" s="26"/>
      <x:c r="I21" s="26"/>
      <x:c r="J21" s="26"/>
    </x:row>
    <x:row r="22" ht="45" customHeight="1">
      <x:c r="A22" s="26" t="str">
        <x:v>Management priority</x:v>
      </x:c>
      <x:c r="B22" s="26" t="str">
        <x:v>Restrict sensitive IAM permissions first, reduce wildcard scope, and establish recurring privileged-access reviews and monitoring.</x:v>
      </x:c>
      <x:c r="C22" s="26"/>
      <x:c r="D22" s="26"/>
      <x:c r="E22" s="26"/>
      <x:c r="F22" s="26"/>
      <x:c r="G22" s="26"/>
      <x:c r="H22" s="26"/>
      <x:c r="I22" s="26"/>
      <x:c r="J22" s="26"/>
    </x:row>
  </x:sheetData>
  <x:mergeCells>
    <x:mergeCell ref="A1:J1"/>
    <x:mergeCell ref="A2:J2"/>
    <x:mergeCell ref="A10:D10"/>
    <x:mergeCell ref="F10:J10"/>
    <x:mergeCell ref="A18:J18"/>
    <x:mergeCell ref="B19:J19"/>
    <x:mergeCell ref="B20:J20"/>
    <x:mergeCell ref="B21:J21"/>
    <x:mergeCell ref="B22:J22"/>
  </x:mergeCells>
  <x:conditionalFormatting sqref="G5:G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H5:H7">
    <x:cfRule type="expression" dxfId="0" priority="2">
      <x:formula>H5="Critical"</x:formula>
    </x:cfRule>
    <x:cfRule type="expression" dxfId="1" priority="3">
      <x:formula>H5="High"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b08c2211ad4f97"/>
  </x:tableParts>
</x:worksheet>
</file>